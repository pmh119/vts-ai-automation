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개인폴더\박민호\0.진행업무\업로드용\"/>
    </mc:Choice>
  </mc:AlternateContent>
  <xr:revisionPtr revIDLastSave="0" documentId="13_ncr:1_{F4CCA65F-6A0B-43B9-AAD7-D52D2D2AB569}" xr6:coauthVersionLast="47" xr6:coauthVersionMax="47" xr10:uidLastSave="{00000000-0000-0000-0000-000000000000}"/>
  <bookViews>
    <workbookView xWindow="-120" yWindow="-120" windowWidth="29040" windowHeight="15720" xr2:uid="{4A7D853D-EC77-4AC6-B0BA-9AE205E16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I6" i="1" l="1"/>
  <c r="C20" i="1" s="1"/>
  <c r="H6" i="1" l="1"/>
  <c r="B20" i="1" s="1"/>
  <c r="M20" i="1" l="1"/>
  <c r="C6" i="1" l="1"/>
  <c r="D6" i="1"/>
  <c r="I20" i="1" s="1"/>
  <c r="E6" i="1"/>
  <c r="K20" i="1" s="1"/>
  <c r="F6" i="1"/>
  <c r="L20" i="1" s="1"/>
  <c r="G6" i="1"/>
  <c r="A20" i="1" s="1"/>
  <c r="J6" i="1"/>
  <c r="D20" i="1" s="1"/>
  <c r="K6" i="1"/>
  <c r="F20" i="1" s="1"/>
  <c r="F28" i="1" s="1"/>
  <c r="L6" i="1"/>
  <c r="E20" i="1" s="1"/>
  <c r="E28" i="1" s="1"/>
  <c r="B6" i="1"/>
  <c r="H20" i="1" s="1"/>
  <c r="A34" i="1"/>
  <c r="J20" i="1" l="1"/>
  <c r="G34" i="1"/>
  <c r="D28" i="1" l="1"/>
  <c r="C28" i="1"/>
  <c r="B28" i="1"/>
  <c r="A28" i="1"/>
  <c r="F34" i="1"/>
  <c r="C34" i="1"/>
  <c r="D34" i="1" l="1"/>
  <c r="E34" i="1"/>
</calcChain>
</file>

<file path=xl/sharedStrings.xml><?xml version="1.0" encoding="utf-8"?>
<sst xmlns="http://schemas.openxmlformats.org/spreadsheetml/2006/main" count="63" uniqueCount="61">
  <si>
    <t>1섹터</t>
    <phoneticPr fontId="1" type="noConversion"/>
  </si>
  <si>
    <t>선박
교통
정보</t>
    <phoneticPr fontId="1" type="noConversion"/>
  </si>
  <si>
    <t>선박
안전
정보</t>
    <phoneticPr fontId="1" type="noConversion"/>
  </si>
  <si>
    <t>도선
정보</t>
    <phoneticPr fontId="1" type="noConversion"/>
  </si>
  <si>
    <t>항행
안전
방송</t>
    <phoneticPr fontId="1" type="noConversion"/>
  </si>
  <si>
    <t>선박
운항
통제</t>
    <phoneticPr fontId="1" type="noConversion"/>
  </si>
  <si>
    <t>닻끌림
사고
예방</t>
    <phoneticPr fontId="1" type="noConversion"/>
  </si>
  <si>
    <t>진입</t>
    <phoneticPr fontId="1" type="noConversion"/>
  </si>
  <si>
    <t>입항</t>
    <phoneticPr fontId="1" type="noConversion"/>
  </si>
  <si>
    <t>출항</t>
    <phoneticPr fontId="1" type="noConversion"/>
  </si>
  <si>
    <t>이동</t>
    <phoneticPr fontId="1" type="noConversion"/>
  </si>
  <si>
    <t>통과</t>
    <phoneticPr fontId="1" type="noConversion"/>
  </si>
  <si>
    <t>관제일지</t>
    <phoneticPr fontId="1" type="noConversion"/>
  </si>
  <si>
    <t>합계</t>
    <phoneticPr fontId="1" type="noConversion"/>
  </si>
  <si>
    <t>VTS 안전관리 및 교신실적</t>
    <phoneticPr fontId="3" type="noConversion"/>
  </si>
  <si>
    <t>관제일지 및 기타 확인사항</t>
    <phoneticPr fontId="3" type="noConversion"/>
  </si>
  <si>
    <t>진입</t>
    <phoneticPr fontId="3" type="noConversion"/>
  </si>
  <si>
    <t>입항</t>
    <phoneticPr fontId="3" type="noConversion"/>
  </si>
  <si>
    <t>출항</t>
    <phoneticPr fontId="3" type="noConversion"/>
  </si>
  <si>
    <t>이동</t>
    <phoneticPr fontId="3" type="noConversion"/>
  </si>
  <si>
    <t>통과</t>
    <phoneticPr fontId="3" type="noConversion"/>
  </si>
  <si>
    <t>PORT
MIS
입력</t>
    <phoneticPr fontId="3" type="noConversion"/>
  </si>
  <si>
    <t>대양</t>
    <phoneticPr fontId="1" type="noConversion"/>
  </si>
  <si>
    <t>양묘</t>
    <phoneticPr fontId="1" type="noConversion"/>
  </si>
  <si>
    <t>이안</t>
    <phoneticPr fontId="1" type="noConversion"/>
  </si>
  <si>
    <t>PORT MIS</t>
    <phoneticPr fontId="1" type="noConversion"/>
  </si>
  <si>
    <t>전체</t>
    <phoneticPr fontId="1" type="noConversion"/>
  </si>
  <si>
    <t>현장업무포탈시스템</t>
    <phoneticPr fontId="1" type="noConversion"/>
  </si>
  <si>
    <t>교신량</t>
    <phoneticPr fontId="1" type="noConversion"/>
  </si>
  <si>
    <t>VHF</t>
    <phoneticPr fontId="1" type="noConversion"/>
  </si>
  <si>
    <t>SSB</t>
    <phoneticPr fontId="1" type="noConversion"/>
  </si>
  <si>
    <t>선박통항량</t>
    <phoneticPr fontId="1" type="noConversion"/>
  </si>
  <si>
    <t>입항</t>
    <phoneticPr fontId="1" type="noConversion"/>
  </si>
  <si>
    <t>출항</t>
    <phoneticPr fontId="1" type="noConversion"/>
  </si>
  <si>
    <t>이동</t>
    <phoneticPr fontId="1" type="noConversion"/>
  </si>
  <si>
    <t>통과</t>
    <phoneticPr fontId="1" type="noConversion"/>
  </si>
  <si>
    <t>선박
교통
정보</t>
    <phoneticPr fontId="1" type="noConversion"/>
  </si>
  <si>
    <t>선박
안전
정보</t>
    <phoneticPr fontId="1" type="noConversion"/>
  </si>
  <si>
    <t>도선
정보</t>
    <phoneticPr fontId="1" type="noConversion"/>
  </si>
  <si>
    <t>항행
안전
방송</t>
    <phoneticPr fontId="1" type="noConversion"/>
  </si>
  <si>
    <t>사고
예방
사례</t>
    <phoneticPr fontId="1" type="noConversion"/>
  </si>
  <si>
    <t>선박
운항
통제</t>
    <phoneticPr fontId="1" type="noConversion"/>
  </si>
  <si>
    <t>PORT
MIS</t>
    <phoneticPr fontId="1" type="noConversion"/>
  </si>
  <si>
    <t>&lt;운영실적&gt;</t>
    <phoneticPr fontId="1" type="noConversion"/>
  </si>
  <si>
    <t>&lt;교신실적&gt;</t>
    <phoneticPr fontId="1" type="noConversion"/>
  </si>
  <si>
    <t>닻끌림
사고
예방</t>
    <phoneticPr fontId="1" type="noConversion"/>
  </si>
  <si>
    <t>항행
안전
방송</t>
    <phoneticPr fontId="3" type="noConversion"/>
  </si>
  <si>
    <t>선박
교통
정보</t>
    <phoneticPr fontId="3" type="noConversion"/>
  </si>
  <si>
    <t>선박
안전</t>
    <phoneticPr fontId="3" type="noConversion"/>
  </si>
  <si>
    <t>도선
정보</t>
    <phoneticPr fontId="3" type="noConversion"/>
  </si>
  <si>
    <t>VHF 교신량
(서버 송신 로그 16kb 이상 파일 개수)</t>
    <phoneticPr fontId="3" type="noConversion"/>
  </si>
  <si>
    <t>1섹터</t>
    <phoneticPr fontId="3" type="noConversion"/>
  </si>
  <si>
    <t>2섹터</t>
    <phoneticPr fontId="3" type="noConversion"/>
  </si>
  <si>
    <t>합계</t>
    <phoneticPr fontId="3" type="noConversion"/>
  </si>
  <si>
    <t>3섹터</t>
    <phoneticPr fontId="3" type="noConversion"/>
  </si>
  <si>
    <t>2섹터</t>
    <phoneticPr fontId="1" type="noConversion"/>
  </si>
  <si>
    <t>3섹터</t>
    <phoneticPr fontId="1" type="noConversion"/>
  </si>
  <si>
    <t>도선횟수</t>
    <phoneticPr fontId="1" type="noConversion"/>
  </si>
  <si>
    <t>사고예방 사례</t>
    <phoneticPr fontId="3" type="noConversion"/>
  </si>
  <si>
    <t>닻끌림 사고예방</t>
    <phoneticPr fontId="3" type="noConversion"/>
  </si>
  <si>
    <t>선박운항
통제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</si>
</sst>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/>
      <diagonal/>
    </border>
    <border>
      <left style="thick">
        <color indexed="64"/>
      </left>
      <right style="thick">
        <color rgb="FFFF0000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rgb="FFFF0000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3" fillId="10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 applyProtection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 applyProtection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8" xfId="0" applyFont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17" xfId="0" applyFont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7" fillId="0" borderId="20" xfId="0" applyFont="1" applyBorder="1" applyAlignment="1" applyProtection="1">
      <alignment horizontal="center" vertical="center"/>
    </xf>
    <xf numFmtId="0" fontId="9" fillId="9" borderId="15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10" fillId="8" borderId="0" xfId="0" applyFont="1" applyFill="1" applyBorder="1" applyAlignment="1">
      <alignment horizontal="center" vertical="center" wrapText="1"/>
    </xf>
    <xf numFmtId="0" fontId="8" fillId="8" borderId="0" xfId="0" applyFont="1" applyFill="1" applyBorder="1" applyAlignment="1">
      <alignment horizontal="center" vertical="center" wrapText="1"/>
    </xf>
    <xf numFmtId="0" fontId="11" fillId="0" borderId="0" xfId="0" applyFont="1" applyFill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10" borderId="0" xfId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7" fillId="0" borderId="6" xfId="0" applyFont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colors>
    <mruColors>
      <color rgb="FFFFCC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336176</xdr:colOff>
      <xdr:row>21</xdr:row>
      <xdr:rowOff>112058</xdr:rowOff>
    </xdr:from>
    <xdr:to>
      <xdr:col>14</xdr:col>
      <xdr:colOff>504265</xdr:colOff>
      <xdr:row>23</xdr:row>
      <xdr:rowOff>336175</xdr:rowOff>
    </xdr:to>
    <xdr:sp macro="" textlink="">
      <xdr:nvSpPr>
        <xdr:cNvPr id="3" name="설명선: 선 2">
          <a:extLst>
            <a:ext uri="{FF2B5EF4-FFF2-40B4-BE49-F238E27FC236}">
              <a16:creationId xmlns:a16="http://schemas.microsoft.com/office/drawing/2014/main" id="{1B1A2C0A-CAAF-4D3B-BFE3-76A391F17167}"/>
            </a:ext>
          </a:extLst>
        </xdr:cNvPr>
        <xdr:cNvSpPr/>
      </xdr:nvSpPr>
      <xdr:spPr>
        <a:xfrm>
          <a:off x="5580529" y="7687234"/>
          <a:ext cx="3283324" cy="649941"/>
        </a:xfrm>
        <a:prstGeom prst="borderCallout1">
          <a:avLst>
            <a:gd name="adj1" fmla="val -49983"/>
            <a:gd name="adj2" fmla="val -18223"/>
            <a:gd name="adj3" fmla="val 4392"/>
            <a:gd name="adj4" fmla="val 797"/>
          </a:avLst>
        </a:prstGeom>
        <a:solidFill>
          <a:srgbClr val="FF0000">
            <a:alpha val="9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출항</a:t>
          </a:r>
          <a:r>
            <a:rPr lang="en-US" altLang="ko-KR" sz="1100" b="1"/>
            <a:t>(</a:t>
          </a:r>
          <a:r>
            <a:rPr lang="ko-KR" altLang="en-US" sz="1100" b="1"/>
            <a:t>관제일지</a:t>
          </a:r>
          <a:r>
            <a:rPr lang="en-US" altLang="ko-KR" sz="1100" b="1"/>
            <a:t>)+</a:t>
          </a:r>
          <a:r>
            <a:rPr lang="ko-KR" altLang="en-US" sz="1100" b="1"/>
            <a:t>입항</a:t>
          </a:r>
          <a:r>
            <a:rPr lang="en-US" altLang="ko-KR" sz="1100" b="1"/>
            <a:t>(</a:t>
          </a:r>
          <a:r>
            <a:rPr lang="ko-KR" altLang="en-US" sz="1100" b="1"/>
            <a:t>포트미스</a:t>
          </a:r>
          <a:r>
            <a:rPr lang="en-US" altLang="ko-KR" sz="1100" b="1"/>
            <a:t>) </a:t>
          </a:r>
          <a:r>
            <a:rPr lang="ko-KR" altLang="en-US" sz="1100" b="1"/>
            <a:t>수식 들어가있음</a:t>
          </a:r>
        </a:p>
        <a:p>
          <a:pPr algn="l"/>
          <a:r>
            <a:rPr lang="ko-KR" altLang="en-US" sz="1100" b="1"/>
            <a:t>*중복해서 더하지 마세요</a:t>
          </a:r>
          <a:r>
            <a:rPr lang="en-US" altLang="ko-KR" sz="1100" b="1"/>
            <a:t>!</a:t>
          </a:r>
          <a:endParaRPr lang="ko-KR" alt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8A14-9404-4131-B357-D09E3D346A79}">
  <dimension ref="A1:N35"/>
  <sheetViews>
    <sheetView tabSelected="1" zoomScale="80" zoomScaleNormal="80" workbookViewId="0">
      <selection activeCell="N12" sqref="N12"/>
    </sheetView>
  </sheetViews>
  <sheetFormatPr defaultRowHeight="16.5" x14ac:dyDescent="0.3"/>
  <cols>
    <col min="1" max="1" width="7.625" style="14" bestFit="1" customWidth="1"/>
    <col min="2" max="12" width="7.625" style="14" customWidth="1"/>
    <col min="13" max="16384" width="9" style="14"/>
  </cols>
  <sheetData>
    <row r="1" spans="1:14" x14ac:dyDescent="0.3">
      <c r="A1" s="42" t="s">
        <v>12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4" ht="50.25" thickBot="1" x14ac:dyDescent="0.35">
      <c r="A2" s="3"/>
      <c r="B2" s="10" t="s">
        <v>7</v>
      </c>
      <c r="C2" s="10" t="s">
        <v>8</v>
      </c>
      <c r="D2" s="10" t="s">
        <v>9</v>
      </c>
      <c r="E2" s="10" t="s">
        <v>10</v>
      </c>
      <c r="F2" s="13" t="s">
        <v>11</v>
      </c>
      <c r="G2" s="11" t="s">
        <v>1</v>
      </c>
      <c r="H2" s="12" t="s">
        <v>2</v>
      </c>
      <c r="I2" s="12" t="s">
        <v>3</v>
      </c>
      <c r="J2" s="12" t="s">
        <v>4</v>
      </c>
      <c r="K2" s="12" t="s">
        <v>5</v>
      </c>
      <c r="L2" s="12" t="s">
        <v>6</v>
      </c>
    </row>
    <row r="3" spans="1:14" ht="29.25" customHeight="1" thickTop="1" thickBot="1" x14ac:dyDescent="0.35">
      <c r="A3" s="15" t="s">
        <v>0</v>
      </c>
      <c r="B3" s="32"/>
      <c r="C3" s="32"/>
      <c r="D3" s="32"/>
      <c r="E3" s="32"/>
      <c r="F3" s="17"/>
      <c r="G3" s="18"/>
      <c r="H3" s="32"/>
      <c r="I3" s="32"/>
      <c r="J3" s="32"/>
      <c r="K3" s="16"/>
      <c r="L3" s="16"/>
    </row>
    <row r="4" spans="1:14" ht="29.25" customHeight="1" thickTop="1" thickBot="1" x14ac:dyDescent="0.35">
      <c r="A4" s="15" t="s">
        <v>55</v>
      </c>
      <c r="B4" s="33"/>
      <c r="C4" s="33"/>
      <c r="D4" s="33"/>
      <c r="E4" s="33"/>
      <c r="F4" s="17"/>
      <c r="G4" s="18"/>
      <c r="H4" s="33"/>
      <c r="I4" s="33"/>
      <c r="J4" s="33"/>
      <c r="K4" s="33"/>
      <c r="L4" s="33"/>
    </row>
    <row r="5" spans="1:14" ht="30" customHeight="1" thickTop="1" thickBot="1" x14ac:dyDescent="0.35">
      <c r="A5" s="15" t="s">
        <v>56</v>
      </c>
      <c r="B5" s="16"/>
      <c r="C5" s="16"/>
      <c r="D5" s="16"/>
      <c r="E5" s="16"/>
      <c r="F5" s="17"/>
      <c r="G5" s="18"/>
      <c r="H5" s="16"/>
      <c r="I5" s="16"/>
      <c r="J5" s="16"/>
      <c r="K5" s="16"/>
      <c r="L5" s="16"/>
    </row>
    <row r="6" spans="1:14" ht="29.25" customHeight="1" thickTop="1" x14ac:dyDescent="0.3">
      <c r="A6" s="19" t="s">
        <v>13</v>
      </c>
      <c r="B6" s="20">
        <f>B3+B4+B5</f>
        <v>0</v>
      </c>
      <c r="C6" s="20">
        <f t="shared" ref="C6:L6" si="0">C3+C4+C5</f>
        <v>0</v>
      </c>
      <c r="D6" s="20">
        <f t="shared" si="0"/>
        <v>0</v>
      </c>
      <c r="E6" s="20">
        <f t="shared" si="0"/>
        <v>0</v>
      </c>
      <c r="F6" s="21">
        <f t="shared" si="0"/>
        <v>0</v>
      </c>
      <c r="G6" s="22">
        <f t="shared" si="0"/>
        <v>0</v>
      </c>
      <c r="H6" s="20">
        <f>H3+H4+H5</f>
        <v>0</v>
      </c>
      <c r="I6" s="20">
        <f>I3+I4+I5</f>
        <v>0</v>
      </c>
      <c r="J6" s="20">
        <f t="shared" si="0"/>
        <v>0</v>
      </c>
      <c r="K6" s="20">
        <f t="shared" si="0"/>
        <v>0</v>
      </c>
      <c r="L6" s="20">
        <f t="shared" si="0"/>
        <v>0</v>
      </c>
    </row>
    <row r="8" spans="1:14" ht="31.5" x14ac:dyDescent="0.3">
      <c r="A8" s="55" t="s">
        <v>25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</row>
    <row r="9" spans="1:14" ht="36.75" customHeight="1" thickBot="1" x14ac:dyDescent="0.35">
      <c r="A9" s="56" t="s">
        <v>8</v>
      </c>
      <c r="B9" s="57"/>
      <c r="C9" s="56" t="s">
        <v>9</v>
      </c>
      <c r="D9" s="57"/>
      <c r="E9" s="56" t="s">
        <v>22</v>
      </c>
      <c r="F9" s="57"/>
      <c r="G9" s="56" t="s">
        <v>24</v>
      </c>
      <c r="H9" s="57"/>
      <c r="I9" s="56" t="s">
        <v>23</v>
      </c>
      <c r="J9" s="57"/>
      <c r="K9" s="56" t="s">
        <v>26</v>
      </c>
      <c r="L9" s="57"/>
      <c r="N9" s="3" t="s">
        <v>57</v>
      </c>
    </row>
    <row r="10" spans="1:14" ht="38.25" customHeight="1" thickTop="1" thickBot="1" x14ac:dyDescent="0.3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N10" s="31"/>
    </row>
    <row r="11" spans="1:14" ht="17.25" thickTop="1" x14ac:dyDescent="0.3"/>
    <row r="12" spans="1:14" ht="42.75" customHeight="1" x14ac:dyDescent="0.3">
      <c r="A12" s="58" t="s">
        <v>50</v>
      </c>
      <c r="B12" s="59"/>
      <c r="C12" s="59"/>
      <c r="D12" s="60"/>
    </row>
    <row r="13" spans="1:14" ht="32.25" customHeight="1" thickBot="1" x14ac:dyDescent="0.35">
      <c r="A13" s="23" t="s">
        <v>51</v>
      </c>
      <c r="B13" s="23" t="s">
        <v>52</v>
      </c>
      <c r="C13" s="23" t="s">
        <v>54</v>
      </c>
      <c r="D13" s="24" t="s">
        <v>53</v>
      </c>
    </row>
    <row r="14" spans="1:14" ht="30" customHeight="1" thickTop="1" thickBot="1" x14ac:dyDescent="0.35">
      <c r="A14" s="25"/>
      <c r="B14" s="25"/>
      <c r="C14" s="25"/>
      <c r="D14" s="26">
        <f>A14+B14+C14</f>
        <v>0</v>
      </c>
    </row>
    <row r="15" spans="1:14" ht="30" customHeight="1" thickTop="1" x14ac:dyDescent="0.3">
      <c r="A15" s="27"/>
      <c r="B15" s="27"/>
      <c r="C15" s="28"/>
    </row>
    <row r="17" spans="1:14" ht="27" thickBot="1" x14ac:dyDescent="0.35">
      <c r="A17" s="46" t="s">
        <v>14</v>
      </c>
      <c r="B17" s="47"/>
      <c r="C17" s="47"/>
      <c r="D17" s="47"/>
      <c r="E17" s="47"/>
      <c r="F17" s="47"/>
      <c r="G17" s="29"/>
      <c r="H17" s="49" t="s">
        <v>15</v>
      </c>
      <c r="I17" s="47"/>
      <c r="J17" s="47"/>
      <c r="K17" s="47"/>
      <c r="L17" s="47"/>
      <c r="M17" s="47"/>
      <c r="N17" s="47"/>
    </row>
    <row r="18" spans="1:14" ht="17.25" thickBot="1" x14ac:dyDescent="0.35">
      <c r="A18" s="43" t="s">
        <v>47</v>
      </c>
      <c r="B18" s="43" t="s">
        <v>48</v>
      </c>
      <c r="C18" s="43" t="s">
        <v>49</v>
      </c>
      <c r="D18" s="43" t="s">
        <v>46</v>
      </c>
      <c r="E18" s="43" t="s">
        <v>59</v>
      </c>
      <c r="F18" s="43" t="s">
        <v>60</v>
      </c>
      <c r="G18" s="30"/>
      <c r="H18" s="50" t="s">
        <v>16</v>
      </c>
      <c r="I18" s="50" t="s">
        <v>17</v>
      </c>
      <c r="J18" s="50" t="s">
        <v>18</v>
      </c>
      <c r="K18" s="51" t="s">
        <v>19</v>
      </c>
      <c r="L18" s="51" t="s">
        <v>20</v>
      </c>
      <c r="M18" s="52" t="s">
        <v>21</v>
      </c>
      <c r="N18" s="53" t="s">
        <v>58</v>
      </c>
    </row>
    <row r="19" spans="1:14" ht="17.25" thickBot="1" x14ac:dyDescent="0.35">
      <c r="A19" s="44"/>
      <c r="B19" s="45"/>
      <c r="C19" s="44"/>
      <c r="D19" s="44"/>
      <c r="E19" s="44"/>
      <c r="F19" s="44"/>
      <c r="G19" s="30"/>
      <c r="H19" s="51"/>
      <c r="I19" s="51"/>
      <c r="J19" s="51"/>
      <c r="K19" s="45"/>
      <c r="L19" s="45"/>
      <c r="M19" s="43"/>
      <c r="N19" s="54"/>
    </row>
    <row r="20" spans="1:14" ht="53.25" customHeight="1" thickTop="1" thickBot="1" x14ac:dyDescent="0.35">
      <c r="A20" s="7">
        <f t="shared" ref="A20:D20" si="1">G6</f>
        <v>0</v>
      </c>
      <c r="B20" s="7">
        <f>H6</f>
        <v>0</v>
      </c>
      <c r="C20" s="7">
        <f>I6+N10*2</f>
        <v>0</v>
      </c>
      <c r="D20" s="7">
        <f t="shared" si="1"/>
        <v>0</v>
      </c>
      <c r="E20" s="7">
        <f>L6</f>
        <v>0</v>
      </c>
      <c r="F20" s="7">
        <f>K6</f>
        <v>0</v>
      </c>
      <c r="G20" s="4"/>
      <c r="H20" s="9">
        <f>B6</f>
        <v>0</v>
      </c>
      <c r="I20" s="7">
        <f>A10+D6</f>
        <v>0</v>
      </c>
      <c r="J20" s="7">
        <f>C10+D6</f>
        <v>0</v>
      </c>
      <c r="K20" s="7">
        <f>2*(A10+C10)+E6+E10+G10+I10+N10</f>
        <v>0</v>
      </c>
      <c r="L20" s="7">
        <f>F6</f>
        <v>0</v>
      </c>
      <c r="M20" s="7">
        <f>K10</f>
        <v>0</v>
      </c>
      <c r="N20" s="9"/>
    </row>
    <row r="21" spans="1:14" ht="17.25" thickTop="1" x14ac:dyDescent="0.3">
      <c r="A21" s="2"/>
      <c r="B21" s="2"/>
      <c r="C21" s="2"/>
      <c r="D21" s="2"/>
      <c r="E21" s="2"/>
      <c r="F21" s="2"/>
      <c r="G21" s="1"/>
      <c r="H21" s="2"/>
      <c r="I21" s="2"/>
      <c r="J21" s="2"/>
      <c r="K21" s="2"/>
      <c r="L21" s="2"/>
      <c r="M21" s="2"/>
      <c r="N21" s="2"/>
    </row>
    <row r="22" spans="1:14" x14ac:dyDescent="0.3">
      <c r="A22" s="2"/>
      <c r="B22" s="2"/>
      <c r="C22" s="2"/>
      <c r="D22" s="2"/>
      <c r="E22" s="2"/>
      <c r="F22" s="2"/>
      <c r="G22" s="1"/>
      <c r="H22" s="2"/>
      <c r="I22" s="2"/>
      <c r="J22" s="2"/>
      <c r="K22" s="2"/>
      <c r="L22" s="2"/>
      <c r="M22" s="2"/>
      <c r="N22" s="2"/>
    </row>
    <row r="24" spans="1:14" ht="31.5" x14ac:dyDescent="0.3">
      <c r="A24" s="39" t="s">
        <v>27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spans="1:14" ht="20.25" x14ac:dyDescent="0.3">
      <c r="A25" s="40" t="s">
        <v>43</v>
      </c>
      <c r="B25" s="40"/>
      <c r="C25" s="30"/>
      <c r="D25" s="30"/>
      <c r="E25" s="30"/>
      <c r="F25" s="30"/>
      <c r="G25" s="30"/>
    </row>
    <row r="26" spans="1:14" ht="17.25" thickBot="1" x14ac:dyDescent="0.35">
      <c r="A26" s="30"/>
      <c r="B26" s="30"/>
      <c r="C26" s="30"/>
      <c r="D26" s="30"/>
      <c r="E26" s="30"/>
      <c r="F26" s="30"/>
      <c r="G26" s="30"/>
    </row>
    <row r="27" spans="1:14" ht="51" thickTop="1" thickBot="1" x14ac:dyDescent="0.35">
      <c r="A27" s="5" t="s">
        <v>36</v>
      </c>
      <c r="B27" s="5" t="s">
        <v>37</v>
      </c>
      <c r="C27" s="5" t="s">
        <v>38</v>
      </c>
      <c r="D27" s="5" t="s">
        <v>39</v>
      </c>
      <c r="E27" s="5" t="s">
        <v>45</v>
      </c>
      <c r="F27" s="5" t="s">
        <v>41</v>
      </c>
      <c r="G27" s="5" t="s">
        <v>40</v>
      </c>
    </row>
    <row r="28" spans="1:14" ht="33.75" customHeight="1" thickTop="1" thickBot="1" x14ac:dyDescent="0.35">
      <c r="A28" s="8">
        <f t="shared" ref="A28:F28" si="2">A20</f>
        <v>0</v>
      </c>
      <c r="B28" s="8">
        <f t="shared" si="2"/>
        <v>0</v>
      </c>
      <c r="C28" s="8">
        <f t="shared" si="2"/>
        <v>0</v>
      </c>
      <c r="D28" s="8">
        <f t="shared" si="2"/>
        <v>0</v>
      </c>
      <c r="E28" s="8">
        <f t="shared" si="2"/>
        <v>0</v>
      </c>
      <c r="F28" s="8">
        <f t="shared" si="2"/>
        <v>0</v>
      </c>
      <c r="G28" s="8">
        <v>0</v>
      </c>
    </row>
    <row r="29" spans="1:14" ht="17.25" thickTop="1" x14ac:dyDescent="0.3">
      <c r="A29" s="30"/>
      <c r="B29" s="30"/>
      <c r="C29" s="30"/>
      <c r="D29" s="30"/>
      <c r="E29" s="30"/>
      <c r="F29" s="30"/>
      <c r="G29" s="30"/>
    </row>
    <row r="30" spans="1:14" ht="17.25" x14ac:dyDescent="0.3">
      <c r="A30" s="41" t="s">
        <v>44</v>
      </c>
      <c r="B30" s="41"/>
      <c r="C30" s="30"/>
      <c r="D30" s="30"/>
      <c r="E30" s="30"/>
      <c r="F30" s="30"/>
      <c r="G30" s="30"/>
    </row>
    <row r="31" spans="1:14" ht="17.25" thickBot="1" x14ac:dyDescent="0.35">
      <c r="A31" s="30"/>
      <c r="B31" s="30"/>
      <c r="C31" s="30"/>
      <c r="D31" s="30"/>
      <c r="E31" s="30"/>
      <c r="F31" s="30"/>
      <c r="G31" s="30"/>
    </row>
    <row r="32" spans="1:14" ht="18" thickTop="1" thickBot="1" x14ac:dyDescent="0.35">
      <c r="A32" s="34" t="s">
        <v>28</v>
      </c>
      <c r="B32" s="35"/>
      <c r="C32" s="34" t="s">
        <v>31</v>
      </c>
      <c r="D32" s="36"/>
      <c r="E32" s="36"/>
      <c r="F32" s="35"/>
      <c r="G32" s="37" t="s">
        <v>42</v>
      </c>
    </row>
    <row r="33" spans="1:7" ht="18" thickTop="1" thickBot="1" x14ac:dyDescent="0.35">
      <c r="A33" s="6" t="s">
        <v>29</v>
      </c>
      <c r="B33" s="6" t="s">
        <v>30</v>
      </c>
      <c r="C33" s="6" t="s">
        <v>32</v>
      </c>
      <c r="D33" s="6" t="s">
        <v>33</v>
      </c>
      <c r="E33" s="6" t="s">
        <v>34</v>
      </c>
      <c r="F33" s="6" t="s">
        <v>35</v>
      </c>
      <c r="G33" s="38"/>
    </row>
    <row r="34" spans="1:7" ht="39.75" customHeight="1" thickTop="1" thickBot="1" x14ac:dyDescent="0.35">
      <c r="A34" s="9">
        <f>D14</f>
        <v>0</v>
      </c>
      <c r="B34" s="9">
        <v>0</v>
      </c>
      <c r="C34" s="9">
        <f>I20</f>
        <v>0</v>
      </c>
      <c r="D34" s="9">
        <f>J20</f>
        <v>0</v>
      </c>
      <c r="E34" s="9">
        <f>K20</f>
        <v>0</v>
      </c>
      <c r="F34" s="9">
        <f>L20</f>
        <v>0</v>
      </c>
      <c r="G34" s="9">
        <f>M20</f>
        <v>0</v>
      </c>
    </row>
    <row r="35" spans="1:7" ht="17.25" thickTop="1" x14ac:dyDescent="0.3"/>
  </sheetData>
  <mergeCells count="36">
    <mergeCell ref="N18:N19"/>
    <mergeCell ref="A8:L8"/>
    <mergeCell ref="A9:B9"/>
    <mergeCell ref="C9:D9"/>
    <mergeCell ref="E9:F9"/>
    <mergeCell ref="G9:H9"/>
    <mergeCell ref="I9:J9"/>
    <mergeCell ref="K9:L9"/>
    <mergeCell ref="C10:D10"/>
    <mergeCell ref="E10:F10"/>
    <mergeCell ref="G10:H10"/>
    <mergeCell ref="I10:J10"/>
    <mergeCell ref="K10:L10"/>
    <mergeCell ref="A12:D12"/>
    <mergeCell ref="A1:L1"/>
    <mergeCell ref="A18:A19"/>
    <mergeCell ref="B18:B19"/>
    <mergeCell ref="C18:C19"/>
    <mergeCell ref="D18:D19"/>
    <mergeCell ref="E18:E19"/>
    <mergeCell ref="F18:F19"/>
    <mergeCell ref="A17:F17"/>
    <mergeCell ref="A10:B10"/>
    <mergeCell ref="H17:N17"/>
    <mergeCell ref="H18:H19"/>
    <mergeCell ref="I18:I19"/>
    <mergeCell ref="J18:J19"/>
    <mergeCell ref="K18:K19"/>
    <mergeCell ref="L18:L19"/>
    <mergeCell ref="M18:M19"/>
    <mergeCell ref="A32:B32"/>
    <mergeCell ref="C32:F32"/>
    <mergeCell ref="G32:G33"/>
    <mergeCell ref="A24:L24"/>
    <mergeCell ref="A25:B25"/>
    <mergeCell ref="A30:B3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2024-11-15T15:02:01Z</cp:lastPrinted>
  <dcterms:created xsi:type="dcterms:W3CDTF">2023-05-03T15:16:38Z</dcterms:created>
  <dcterms:modified xsi:type="dcterms:W3CDTF">2026-05-19T14:29:22Z</dcterms:modified>
</cp:coreProperties>
</file>